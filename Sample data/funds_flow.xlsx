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Investment" sheetId="2" state="visible" r:id="rId2"/>
    <sheet xmlns:r="http://schemas.openxmlformats.org/officeDocument/2006/relationships" name="Buyer Expenses" sheetId="3" state="visible" r:id="rId3"/>
    <sheet xmlns:r="http://schemas.openxmlformats.org/officeDocument/2006/relationships" name="Seller Expenses" sheetId="4" state="visible" r:id="rId4"/>
    <sheet xmlns:r="http://schemas.openxmlformats.org/officeDocument/2006/relationships" name="Wire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555555"/>
      <sz val="9"/>
    </font>
    <font>
      <name val="Calibri"/>
      <b val="1"/>
      <color rgb="00000000"/>
      <sz val="10"/>
    </font>
    <font>
      <name val="Calibri"/>
      <i val="1"/>
      <color rgb="00808080"/>
      <sz val="9"/>
    </font>
    <font>
      <name val="Calibri"/>
      <b val="1"/>
      <color rgb="001F3864"/>
      <sz val="10"/>
    </font>
    <font>
      <name val="Calibri"/>
      <i val="1"/>
      <color rgb="00000000"/>
      <sz val="9"/>
    </font>
    <font>
      <name val="Calibri"/>
      <i val="1"/>
      <color rgb="00FFFFFF"/>
      <sz val="9"/>
    </font>
    <font>
      <name val="Calibri"/>
      <i val="1"/>
      <color rgb="00C00000"/>
      <sz val="9"/>
    </font>
    <font>
      <name val="Calibri"/>
      <b val="1"/>
      <color rgb="00000000"/>
      <sz val="13"/>
    </font>
    <font>
      <name val="Calibri"/>
      <color rgb="00000000"/>
      <sz val="11"/>
    </font>
    <font>
      <name val="Calibri"/>
      <color rgb="00C00000"/>
      <sz val="10"/>
    </font>
    <font>
      <name val="Calibri"/>
      <b val="1"/>
      <color rgb="00FFFFFF"/>
      <sz val="12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4057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9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0" fillId="6" borderId="1" pivotButton="0" quotePrefix="0" xfId="0"/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11" fillId="0" borderId="1" pivotButton="0" quotePrefix="0" xfId="0"/>
    <xf numFmtId="0" fontId="8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5" fillId="2" borderId="1" pivotButton="0" quotePrefix="0" xfId="0"/>
    <xf numFmtId="164" fontId="5" fillId="2" borderId="1" applyAlignment="1" pivotButton="0" quotePrefix="0" xfId="0">
      <alignment horizontal="right" vertical="center"/>
    </xf>
    <xf numFmtId="0" fontId="12" fillId="2" borderId="1" pivotButton="0" quotePrefix="0" xfId="0"/>
    <xf numFmtId="0" fontId="5" fillId="9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11" fillId="0" borderId="0" pivotButton="0" quotePrefix="0" xfId="0"/>
    <xf numFmtId="164" fontId="8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7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indent="1"/>
    </xf>
    <xf numFmtId="0" fontId="6" fillId="0" borderId="6" applyAlignment="1" pivotButton="0" quotePrefix="0" xfId="0">
      <alignment horizontal="left" vertical="center"/>
    </xf>
    <xf numFmtId="165" fontId="6" fillId="0" borderId="6" applyAlignment="1" pivotButton="0" quotePrefix="0" xfId="0">
      <alignment horizontal="right" vertical="center"/>
    </xf>
    <xf numFmtId="0" fontId="8" fillId="10" borderId="6" applyAlignment="1" pivotButton="0" quotePrefix="0" xfId="0">
      <alignment horizontal="left" vertical="center"/>
    </xf>
    <xf numFmtId="165" fontId="8" fillId="10" borderId="6" applyAlignment="1" pivotButton="0" quotePrefix="0" xfId="0">
      <alignment horizontal="right" vertical="center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36" customWidth="1" min="5" max="5"/>
    <col width="12" customWidth="1" min="6" max="6"/>
    <col width="16" customWidth="1" min="7" max="7"/>
    <col width="16" customWidth="1" min="8" max="8"/>
  </cols>
  <sheetData>
    <row r="1" ht="40" customHeight="1">
      <c r="A1" s="1" t="inlineStr">
        <is>
          <t>APEX CAPITAL PARTNERS — PROJECT MERIDIAN ACQUISITION
Sources &amp; Uses of Funds — Closing Date: July 15, 2026</t>
        </is>
      </c>
      <c r="B1" s="41" t="n"/>
      <c r="C1" s="41" t="n"/>
      <c r="D1" s="41" t="n"/>
      <c r="E1" s="42" t="n"/>
    </row>
    <row r="2" ht="16" customHeight="1">
      <c r="A2" s="2" t="inlineStr">
        <is>
          <t>Deal:</t>
        </is>
      </c>
      <c r="B2" s="3" t="inlineStr">
        <is>
          <t>Project Meridian</t>
        </is>
      </c>
      <c r="C2" s="2" t="inlineStr">
        <is>
          <t>Closing Date:</t>
        </is>
      </c>
      <c r="D2" s="3" t="inlineStr">
        <is>
          <t>2026-07-15</t>
        </is>
      </c>
      <c r="E2" s="2" t="inlineStr">
        <is>
          <t>Client Role:</t>
        </is>
      </c>
      <c r="F2" s="3" t="inlineStr">
        <is>
          <t>Buyer</t>
        </is>
      </c>
    </row>
    <row r="3" ht="16" customHeight="1">
      <c r="A3" s="2" t="inlineStr">
        <is>
          <t>Fund I Name:</t>
        </is>
      </c>
      <c r="B3" s="3" t="inlineStr">
        <is>
          <t>Fund I</t>
        </is>
      </c>
      <c r="C3" s="2" t="inlineStr">
        <is>
          <t>Fund I %:</t>
        </is>
      </c>
      <c r="D3" s="4" t="n">
        <v>0.55</v>
      </c>
      <c r="E3" s="2" t="inlineStr">
        <is>
          <t>Fund II Name:</t>
        </is>
      </c>
      <c r="F3" s="3" t="inlineStr">
        <is>
          <t>Fund II</t>
        </is>
      </c>
      <c r="G3" s="2" t="inlineStr">
        <is>
          <t>Fund II %:</t>
        </is>
      </c>
      <c r="H3" s="4" t="n">
        <v>0.45</v>
      </c>
    </row>
    <row r="4" ht="6" customHeight="1"/>
    <row r="5" ht="20" customHeight="1">
      <c r="A5" s="5" t="inlineStr">
        <is>
          <t>Description</t>
        </is>
      </c>
      <c r="B5" s="5" t="inlineStr">
        <is>
          <t>Fund I ($)</t>
        </is>
      </c>
      <c r="C5" s="5" t="inlineStr">
        <is>
          <t>Fund II ($)</t>
        </is>
      </c>
      <c r="D5" s="5" t="inlineStr">
        <is>
          <t>Total ($)</t>
        </is>
      </c>
      <c r="E5" s="5" t="inlineStr">
        <is>
          <t>Notes</t>
        </is>
      </c>
    </row>
    <row r="6" ht="18" customHeight="1">
      <c r="A6" s="6" t="inlineStr">
        <is>
          <t>SOURCES</t>
        </is>
      </c>
      <c r="B6" s="41" t="n"/>
      <c r="C6" s="41" t="n"/>
      <c r="D6" s="41" t="n"/>
      <c r="E6" s="42" t="n"/>
    </row>
    <row r="7" ht="16" customHeight="1">
      <c r="A7" s="7" t="inlineStr">
        <is>
          <t xml:space="preserve">  Capital Call — Fund I</t>
        </is>
      </c>
      <c r="B7" s="8" t="n">
        <v>104060000</v>
      </c>
      <c r="C7" s="8" t="n"/>
      <c r="D7" s="8" t="n">
        <v>104060000</v>
      </c>
      <c r="E7" s="9" t="inlineStr">
        <is>
          <t>55% of $104M capital call</t>
        </is>
      </c>
    </row>
    <row r="8" ht="16" customHeight="1">
      <c r="A8" s="7" t="inlineStr">
        <is>
          <t xml:space="preserve">  Capital Call — Fund II</t>
        </is>
      </c>
      <c r="B8" s="8" t="n"/>
      <c r="C8" s="8" t="n">
        <v>85140000</v>
      </c>
      <c r="D8" s="8" t="n">
        <v>85140000</v>
      </c>
      <c r="E8" s="9" t="inlineStr">
        <is>
          <t>45% of $85M capital call</t>
        </is>
      </c>
    </row>
    <row r="9" ht="16" customHeight="1">
      <c r="A9" s="10" t="inlineStr">
        <is>
          <t>Total Sources</t>
        </is>
      </c>
      <c r="B9" s="11" t="n">
        <v>104060000</v>
      </c>
      <c r="C9" s="11" t="n">
        <v>85140000</v>
      </c>
      <c r="D9" s="11" t="n">
        <v>189200000</v>
      </c>
      <c r="E9" s="12" t="inlineStr"/>
    </row>
    <row r="10" ht="6" customHeight="1"/>
    <row r="11" ht="18" customHeight="1">
      <c r="A11" s="6" t="inlineStr">
        <is>
          <t>USES</t>
        </is>
      </c>
      <c r="B11" s="41" t="n"/>
      <c r="C11" s="41" t="n"/>
      <c r="D11" s="41" t="n"/>
      <c r="E11" s="42" t="n"/>
    </row>
    <row r="12" ht="16" customHeight="1">
      <c r="A12" s="13" t="inlineStr">
        <is>
          <t xml:space="preserve">  Investment in NovaTech Solutions Inc.</t>
        </is>
      </c>
      <c r="B12" s="14" t="n">
        <v>102014000</v>
      </c>
      <c r="C12" s="14" t="n">
        <v>83466000</v>
      </c>
      <c r="D12" s="14" t="n">
        <v>185480000</v>
      </c>
      <c r="E12" s="15" t="inlineStr">
        <is>
          <t>55/45 per capital commitments; per SPA</t>
        </is>
      </c>
    </row>
    <row r="13" ht="16" customHeight="1">
      <c r="A13" s="7" t="inlineStr">
        <is>
          <t xml:space="preserve">  Buyer Transaction Costs</t>
        </is>
      </c>
      <c r="B13" s="8">
        <f>'Buyer Expenses'!C22</f>
        <v/>
      </c>
      <c r="C13" s="8">
        <f>'Buyer Expenses'!D22</f>
        <v/>
      </c>
      <c r="D13" s="8">
        <f>'Buyer Expenses'!E22</f>
        <v/>
      </c>
      <c r="E13" s="9" t="inlineStr">
        <is>
          <t>See Buyer Expenses tab for detail</t>
        </is>
      </c>
    </row>
    <row r="14" ht="16" customHeight="1">
      <c r="A14" s="10" t="inlineStr">
        <is>
          <t>Total Uses</t>
        </is>
      </c>
      <c r="B14" s="11">
        <f>B12+B13</f>
        <v/>
      </c>
      <c r="C14" s="11">
        <f>C12+C13</f>
        <v/>
      </c>
      <c r="D14" s="11">
        <f>D12+D13</f>
        <v/>
      </c>
      <c r="E14" s="12" t="inlineStr"/>
    </row>
    <row r="15" ht="6" customHeight="1"/>
    <row r="16" ht="18" customHeight="1">
      <c r="A16" s="6" t="inlineStr">
        <is>
          <t>RECONCILIATION</t>
        </is>
      </c>
      <c r="B16" s="41" t="n"/>
      <c r="C16" s="41" t="n"/>
      <c r="D16" s="41" t="n"/>
      <c r="E16" s="42" t="n"/>
    </row>
    <row r="17" ht="16" customHeight="1">
      <c r="A17" s="16" t="inlineStr">
        <is>
          <t xml:space="preserve">  Sources less Uses  (must equal $0)</t>
        </is>
      </c>
      <c r="B17" s="17">
        <f>B9-B14</f>
        <v/>
      </c>
      <c r="C17" s="17">
        <f>C9-C14</f>
        <v/>
      </c>
      <c r="D17" s="17">
        <f>D9-D14</f>
        <v/>
      </c>
      <c r="E17" s="9" t="inlineStr">
        <is>
          <t>Must equal $0</t>
        </is>
      </c>
    </row>
    <row r="18" ht="10" customHeight="1"/>
    <row r="19">
      <c r="A19" s="18" t="inlineStr">
        <is>
          <t>NOTE: All transaction costs expensed as incurred per ASC 946. Costs are NOT capitalized into the cost basis of the investment.</t>
        </is>
      </c>
    </row>
  </sheetData>
  <mergeCells count="5">
    <mergeCell ref="A16:E16"/>
    <mergeCell ref="A19:E19"/>
    <mergeCell ref="A11:E11"/>
    <mergeCell ref="A1:E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 ht="22" customHeight="1">
      <c r="A1" s="43" t="inlineStr">
        <is>
          <t>PROJECT MERIDIAN — INVESTMENT IN NOVATECH SOLUTIONS INC.</t>
        </is>
      </c>
    </row>
    <row r="2" ht="8" customHeight="1"/>
    <row r="3" ht="16" customHeight="1">
      <c r="A3" s="44" t="inlineStr">
        <is>
          <t>Description</t>
        </is>
      </c>
      <c r="B3" s="44" t="inlineStr">
        <is>
          <t>Fund I ($)</t>
        </is>
      </c>
      <c r="C3" s="44" t="inlineStr">
        <is>
          <t>Fund II ($)</t>
        </is>
      </c>
      <c r="D3" s="44" t="inlineStr">
        <is>
          <t>Total ($)</t>
        </is>
      </c>
      <c r="E3" s="44" t="inlineStr">
        <is>
          <t>Reference / Notes</t>
        </is>
      </c>
    </row>
    <row r="4">
      <c r="A4" s="45" t="inlineStr">
        <is>
          <t>PURCHASE PRICE</t>
        </is>
      </c>
    </row>
    <row r="5">
      <c r="A5" s="46" t="inlineStr">
        <is>
          <t xml:space="preserve">  Purchase Price — NovaTech Solutions Inc.</t>
        </is>
      </c>
      <c r="B5" s="47" t="n">
        <v>102014000</v>
      </c>
      <c r="C5" s="47" t="n">
        <v>83466000</v>
      </c>
      <c r="D5" s="47">
        <f>B5+C5</f>
        <v/>
      </c>
      <c r="E5" s="46" t="inlineStr">
        <is>
          <t>Per SPA dated July 15, 2026 — Atlas Commercial Bank wire</t>
        </is>
      </c>
    </row>
    <row r="6">
      <c r="A6" s="46" t="inlineStr">
        <is>
          <t xml:space="preserve">  Working Capital Adjustment</t>
        </is>
      </c>
      <c r="B6" s="47" t="n">
        <v>0</v>
      </c>
      <c r="C6" s="47" t="n">
        <v>0</v>
      </c>
      <c r="D6" s="47">
        <f>B6+C6</f>
        <v/>
      </c>
      <c r="E6" s="46" t="inlineStr">
        <is>
          <t>TBD — post-closing true-up per SPA Section 2.6</t>
        </is>
      </c>
    </row>
    <row r="7" ht="6" customHeight="1"/>
    <row r="8">
      <c r="A8" s="48" t="inlineStr">
        <is>
          <t>TOTAL INVESTMENT</t>
        </is>
      </c>
      <c r="B8" s="49">
        <f>SUM(B5:B6)</f>
        <v/>
      </c>
      <c r="C8" s="49">
        <f>SUM(C5:C6)</f>
        <v/>
      </c>
      <c r="D8" s="49">
        <f>SUM(D5:D6)</f>
        <v/>
      </c>
      <c r="E8" s="48" t="inlineStr">
        <is>
          <t>Linked to Sources &amp; Uses tab</t>
        </is>
      </c>
    </row>
    <row r="10" ht="32" customHeight="1">
      <c r="A10" s="50" t="inlineStr">
        <is>
          <t>NOTE: This investment is recorded at cost per ASC 946. Transaction costs are expensed separately (see Buyer Expenses tab). Working capital adjustment settled within 90 days of closing per SPA.</t>
        </is>
      </c>
    </row>
  </sheetData>
  <mergeCells count="3">
    <mergeCell ref="A1:E1"/>
    <mergeCell ref="A4:E4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24" customHeight="1">
      <c r="A1" s="19" t="inlineStr">
        <is>
          <t>PROJECT MERIDIAN — BUYER TRANSACTION COSTS</t>
        </is>
      </c>
      <c r="B1" s="41" t="n"/>
      <c r="C1" s="41" t="n"/>
      <c r="D1" s="41" t="n"/>
      <c r="E1" s="41" t="n"/>
      <c r="F1" s="42" t="n"/>
    </row>
    <row r="2" ht="6" customHeight="1"/>
    <row r="3" ht="20" customHeight="1">
      <c r="A3" s="20" t="inlineStr">
        <is>
          <t>Description</t>
        </is>
      </c>
      <c r="B3" s="42" t="n"/>
      <c r="C3" s="5" t="inlineStr">
        <is>
          <t>Fund I ($)</t>
        </is>
      </c>
      <c r="D3" s="5" t="inlineStr">
        <is>
          <t>Fund II ($)</t>
        </is>
      </c>
      <c r="E3" s="5" t="inlineStr">
        <is>
          <t>Total ($)</t>
        </is>
      </c>
      <c r="F3" s="5" t="inlineStr">
        <is>
          <t>Notes / Vendor</t>
        </is>
      </c>
    </row>
    <row r="4" ht="16" customHeight="1">
      <c r="A4" s="21" t="inlineStr">
        <is>
          <t>PROFESSIONAL FEES</t>
        </is>
      </c>
      <c r="B4" s="41" t="n"/>
      <c r="C4" s="41" t="n"/>
      <c r="D4" s="41" t="n"/>
      <c r="E4" s="41" t="n"/>
      <c r="F4" s="42" t="n"/>
    </row>
    <row r="5" ht="16" customHeight="1">
      <c r="A5" s="22" t="inlineStr">
        <is>
          <t xml:space="preserve">  Legal Counsel (Due Diligence Phase)</t>
        </is>
      </c>
      <c r="B5" s="42" t="n"/>
      <c r="C5" s="23" t="n">
        <v>154000</v>
      </c>
      <c r="D5" s="23" t="n">
        <v>126000</v>
      </c>
      <c r="E5" s="23" t="n">
        <v>280000</v>
      </c>
      <c r="F5" s="24" t="inlineStr">
        <is>
          <t>Harrington &amp; Cross LLP</t>
        </is>
      </c>
    </row>
    <row r="6" ht="16" customHeight="1">
      <c r="A6" s="22" t="inlineStr">
        <is>
          <t xml:space="preserve">  Legal Counsel (Closing &amp; SPA Execution)</t>
        </is>
      </c>
      <c r="B6" s="42" t="n"/>
      <c r="C6" s="23" t="n">
        <v>231000</v>
      </c>
      <c r="D6" s="23" t="n">
        <v>189000</v>
      </c>
      <c r="E6" s="23" t="n">
        <v>420000</v>
      </c>
      <c r="F6" s="24" t="inlineStr">
        <is>
          <t>Harrington &amp; Cross LLP</t>
        </is>
      </c>
    </row>
    <row r="7" ht="16" customHeight="1">
      <c r="A7" s="22" t="inlineStr">
        <is>
          <t xml:space="preserve">  M&amp;A Banking Advisory</t>
        </is>
      </c>
      <c r="B7" s="42" t="n"/>
      <c r="C7" s="23" t="n">
        <v>1100000</v>
      </c>
      <c r="D7" s="23" t="n">
        <v>900000</v>
      </c>
      <c r="E7" s="23" t="n">
        <v>2000000</v>
      </c>
      <c r="F7" s="24" t="inlineStr">
        <is>
          <t>Pinnacle Capital Advisors LLC</t>
        </is>
      </c>
    </row>
    <row r="8" ht="16" customHeight="1">
      <c r="A8" s="22" t="inlineStr">
        <is>
          <t xml:space="preserve">  Quality of Earnings Analysis</t>
        </is>
      </c>
      <c r="B8" s="42" t="n"/>
      <c r="C8" s="23" t="n">
        <v>176000</v>
      </c>
      <c r="D8" s="23" t="n">
        <v>144000</v>
      </c>
      <c r="E8" s="23" t="n">
        <v>320000</v>
      </c>
      <c r="F8" s="24" t="inlineStr">
        <is>
          <t>Meridian Advisory Group</t>
        </is>
      </c>
    </row>
    <row r="9" ht="16" customHeight="1">
      <c r="A9" s="25" t="inlineStr">
        <is>
          <t xml:space="preserve">  Total Professional Fees</t>
        </is>
      </c>
      <c r="B9" s="42" t="n"/>
      <c r="C9" s="26">
        <f>SUM(C5:C8)</f>
        <v/>
      </c>
      <c r="D9" s="26">
        <f>SUM(D5:D8)</f>
        <v/>
      </c>
      <c r="E9" s="26">
        <f>SUM(E5:E8)</f>
        <v/>
      </c>
      <c r="F9" s="27" t="n"/>
    </row>
    <row r="10" ht="16" customHeight="1">
      <c r="A10" s="21" t="inlineStr">
        <is>
          <t>DUE DILIGENCE</t>
        </is>
      </c>
      <c r="B10" s="41" t="n"/>
      <c r="C10" s="41" t="n"/>
      <c r="D10" s="41" t="n"/>
      <c r="E10" s="41" t="n"/>
      <c r="F10" s="42" t="n"/>
    </row>
    <row r="11" ht="16" customHeight="1">
      <c r="A11" s="22" t="inlineStr">
        <is>
          <t xml:space="preserve">  IT Systems &amp; Cybersecurity Review</t>
        </is>
      </c>
      <c r="B11" s="42" t="n"/>
      <c r="C11" s="23" t="n">
        <v>52250</v>
      </c>
      <c r="D11" s="23" t="n">
        <v>42750</v>
      </c>
      <c r="E11" s="23" t="n">
        <v>95000</v>
      </c>
      <c r="F11" s="24" t="inlineStr">
        <is>
          <t>Bridgeway Advisory Group (email invoice)</t>
        </is>
      </c>
    </row>
    <row r="12" ht="16" customHeight="1">
      <c r="A12" s="22" t="inlineStr">
        <is>
          <t xml:space="preserve">  Environmental &amp; ESG Assessment</t>
        </is>
      </c>
      <c r="B12" s="42" t="n"/>
      <c r="C12" s="23" t="n">
        <v>33000</v>
      </c>
      <c r="D12" s="23" t="n">
        <v>27000</v>
      </c>
      <c r="E12" s="23" t="n">
        <v>60000</v>
      </c>
      <c r="F12" s="24" t="inlineStr">
        <is>
          <t>GreenShield Environmental</t>
        </is>
      </c>
    </row>
    <row r="13" ht="16" customHeight="1">
      <c r="A13" s="22" t="inlineStr">
        <is>
          <t xml:space="preserve">  Operational Due Diligence</t>
        </is>
      </c>
      <c r="B13" s="42" t="n"/>
      <c r="C13" s="23" t="n">
        <v>137500</v>
      </c>
      <c r="D13" s="23" t="n">
        <v>112500</v>
      </c>
      <c r="E13" s="23" t="n">
        <v>250000</v>
      </c>
      <c r="F13" s="24" t="inlineStr">
        <is>
          <t>Vertex Strategy Group</t>
        </is>
      </c>
    </row>
    <row r="14" ht="16" customHeight="1">
      <c r="A14" s="25" t="inlineStr">
        <is>
          <t xml:space="preserve">  Total Due Diligence</t>
        </is>
      </c>
      <c r="B14" s="42" t="n"/>
      <c r="C14" s="26">
        <f>SUM(C11:C13)</f>
        <v/>
      </c>
      <c r="D14" s="26">
        <f>SUM(D11:D13)</f>
        <v/>
      </c>
      <c r="E14" s="26">
        <f>SUM(E11:E13)</f>
        <v/>
      </c>
      <c r="F14" s="27" t="n"/>
    </row>
    <row r="15" ht="16" customHeight="1">
      <c r="A15" s="21" t="inlineStr">
        <is>
          <t>OTHER TRANSACTION COSTS</t>
        </is>
      </c>
      <c r="B15" s="41" t="n"/>
      <c r="C15" s="41" t="n"/>
      <c r="D15" s="41" t="n"/>
      <c r="E15" s="41" t="n"/>
      <c r="F15" s="42" t="n"/>
    </row>
    <row r="16" ht="16" customHeight="1">
      <c r="A16" s="22" t="inlineStr">
        <is>
          <t xml:space="preserve">  Tax Structuring &amp; Transaction Advisory</t>
        </is>
      </c>
      <c r="B16" s="42" t="n"/>
      <c r="C16" s="23" t="n">
        <v>96250</v>
      </c>
      <c r="D16" s="23" t="n">
        <v>78750</v>
      </c>
      <c r="E16" s="23" t="n">
        <v>175000</v>
      </c>
      <c r="F16" s="24" t="inlineStr">
        <is>
          <t>Nexus Tax Partners LLP</t>
        </is>
      </c>
    </row>
    <row r="17" ht="16" customHeight="1">
      <c r="A17" s="22" t="inlineStr">
        <is>
          <t xml:space="preserve">  Regulatory Filing Fees (HSR/SEC)</t>
        </is>
      </c>
      <c r="B17" s="42" t="n"/>
      <c r="C17" s="23" t="n">
        <v>24750</v>
      </c>
      <c r="D17" s="23" t="n">
        <v>20250</v>
      </c>
      <c r="E17" s="23" t="n">
        <v>45000</v>
      </c>
      <c r="F17" s="24" t="inlineStr">
        <is>
          <t>HSR Act + SEC notification</t>
        </is>
      </c>
    </row>
    <row r="18" ht="16" customHeight="1">
      <c r="A18" s="22" t="inlineStr">
        <is>
          <t xml:space="preserve">  Deal Team Travel &amp; Expenses</t>
        </is>
      </c>
      <c r="B18" s="42" t="n"/>
      <c r="C18" s="23" t="n">
        <v>30250</v>
      </c>
      <c r="D18" s="23" t="n">
        <v>24750</v>
      </c>
      <c r="E18" s="23" t="n">
        <v>55000</v>
      </c>
      <c r="F18" s="24" t="inlineStr">
        <is>
          <t>Internal — receipts in Concur</t>
        </is>
      </c>
    </row>
    <row r="19" ht="16" customHeight="1">
      <c r="A19" s="22" t="inlineStr">
        <is>
          <t xml:space="preserve">  Miscellaneous Closing Costs</t>
        </is>
      </c>
      <c r="B19" s="42" t="n"/>
      <c r="C19" s="23" t="n">
        <v>11000</v>
      </c>
      <c r="D19" s="23" t="n">
        <v>9000</v>
      </c>
      <c r="E19" s="23" t="n">
        <v>20000</v>
      </c>
      <c r="F19" s="24" t="inlineStr">
        <is>
          <t>Notary, courier, VDR, admin</t>
        </is>
      </c>
    </row>
    <row r="20" ht="16" customHeight="1">
      <c r="A20" s="25" t="inlineStr">
        <is>
          <t xml:space="preserve">  Total Other Costs</t>
        </is>
      </c>
      <c r="B20" s="42" t="n"/>
      <c r="C20" s="26">
        <f>SUM(C16:C19)</f>
        <v/>
      </c>
      <c r="D20" s="26">
        <f>SUM(D16:D19)</f>
        <v/>
      </c>
      <c r="E20" s="26">
        <f>SUM(E16:E19)</f>
        <v/>
      </c>
      <c r="F20" s="27" t="n"/>
    </row>
    <row r="21" ht="4" customHeight="1"/>
    <row r="22" ht="22" customHeight="1">
      <c r="A22" s="28" t="inlineStr">
        <is>
          <t>GRAND TOTAL — BUYER TRANSACTION COSTS</t>
        </is>
      </c>
      <c r="B22" s="42" t="n"/>
      <c r="C22" s="29">
        <f>C9+C14+C20</f>
        <v/>
      </c>
      <c r="D22" s="29">
        <f>D9+D14+D20</f>
        <v/>
      </c>
      <c r="E22" s="29">
        <f>E9+E14+E20</f>
        <v/>
      </c>
      <c r="F22" s="30" t="inlineStr">
        <is>
          <t>Linked to Sources &amp; Uses tab</t>
        </is>
      </c>
    </row>
  </sheetData>
  <mergeCells count="20">
    <mergeCell ref="A11:B11"/>
    <mergeCell ref="A6:B6"/>
    <mergeCell ref="A16:B16"/>
    <mergeCell ref="A7:B7"/>
    <mergeCell ref="A4:F4"/>
    <mergeCell ref="A18:B18"/>
    <mergeCell ref="A3:B3"/>
    <mergeCell ref="A12:B12"/>
    <mergeCell ref="A10:F10"/>
    <mergeCell ref="A5:B5"/>
    <mergeCell ref="A14:B14"/>
    <mergeCell ref="A17:B17"/>
    <mergeCell ref="A8:B8"/>
    <mergeCell ref="A15:F15"/>
    <mergeCell ref="A22:B22"/>
    <mergeCell ref="A20:B20"/>
    <mergeCell ref="A19:B19"/>
    <mergeCell ref="A1:F1"/>
    <mergeCell ref="A13:B13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0" customWidth="1" min="3" max="3"/>
  </cols>
  <sheetData>
    <row r="1" ht="22" customHeight="1">
      <c r="A1" s="31" t="inlineStr">
        <is>
          <t>PROJECT MERIDIAN — SELLER TRANSACTION COSTS  (FOR REFERENCE ONLY — NOT BUYER'S RESPONSIBILITY)</t>
        </is>
      </c>
      <c r="B1" s="41" t="n"/>
      <c r="C1" s="41" t="n"/>
      <c r="D1" s="41" t="n"/>
      <c r="E1" s="42" t="n"/>
    </row>
    <row r="3">
      <c r="A3" s="32" t="inlineStr">
        <is>
          <t>Description</t>
        </is>
      </c>
      <c r="B3" s="32" t="inlineStr">
        <is>
          <t>Seller Amount ($)</t>
        </is>
      </c>
      <c r="C3" s="32" t="inlineStr">
        <is>
          <t>Notes</t>
        </is>
      </c>
    </row>
    <row r="4">
      <c r="A4" s="33" t="inlineStr">
        <is>
          <t>Seller Legal Counsel — Warwick &amp; Sullivan LLP</t>
        </is>
      </c>
      <c r="B4" s="34" t="n">
        <v>750000</v>
      </c>
      <c r="C4" s="35" t="inlineStr">
        <is>
          <t>Seller engagement</t>
        </is>
      </c>
    </row>
    <row r="5">
      <c r="A5" s="33" t="inlineStr">
        <is>
          <t>Seller Financial Advisor — Cornerstone Advisors</t>
        </is>
      </c>
      <c r="B5" s="34" t="n">
        <v>900000</v>
      </c>
      <c r="C5" s="35" t="inlineStr">
        <is>
          <t>Success fee on closing</t>
        </is>
      </c>
    </row>
    <row r="6">
      <c r="A6" s="33" t="inlineStr">
        <is>
          <t>Representation &amp; Warranty Insurance Premium</t>
        </is>
      </c>
      <c r="B6" s="34" t="n">
        <v>220000</v>
      </c>
      <c r="C6" s="35" t="inlineStr">
        <is>
          <t>R&amp;W policy; 3-year tail</t>
        </is>
      </c>
    </row>
    <row r="7">
      <c r="A7" s="33" t="inlineStr">
        <is>
          <t>Seller Due Diligence — Sterling Assurance LLP</t>
        </is>
      </c>
      <c r="B7" s="34" t="n">
        <v>180000</v>
      </c>
      <c r="C7" s="35" t="inlineStr">
        <is>
          <t>Vendor DD; buyer reliance granted</t>
        </is>
      </c>
    </row>
    <row r="8">
      <c r="A8" s="33" t="inlineStr">
        <is>
          <t>Management Retention Bonuses</t>
        </is>
      </c>
      <c r="B8" s="34" t="n">
        <v>400000</v>
      </c>
      <c r="C8" s="35" t="inlineStr">
        <is>
          <t>Key employee retention pool</t>
        </is>
      </c>
    </row>
    <row r="9">
      <c r="A9" s="32" t="inlineStr">
        <is>
          <t>Total Seller Costs</t>
        </is>
      </c>
      <c r="B9" s="36" t="n">
        <v>2450000</v>
      </c>
      <c r="C9" s="35" t="inlineStr"/>
    </row>
    <row r="12">
      <c r="A12" s="37" t="inlineStr">
        <is>
          <t>NOTE: Seller costs are NOT the responsibility of the Buyer. Included for reference only. Do NOT index these against Buyer support documents.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18" customHeight="1">
      <c r="A1" s="38" t="inlineStr">
        <is>
          <t>Wire Transfer Instructions — Project Meridian Closing</t>
        </is>
      </c>
    </row>
    <row r="2" ht="18" customHeight="1">
      <c r="A2" s="33" t="inlineStr"/>
    </row>
    <row r="3" ht="18" customHeight="1">
      <c r="A3" s="39" t="inlineStr">
        <is>
          <t>Receiving Bank:   Atlas Commercial Bank N.A.</t>
        </is>
      </c>
    </row>
    <row r="4" ht="18" customHeight="1">
      <c r="A4" s="39" t="inlineStr">
        <is>
          <t>ABA Routing:      021000021</t>
        </is>
      </c>
    </row>
    <row r="5" ht="18" customHeight="1">
      <c r="A5" s="39" t="inlineStr">
        <is>
          <t>Account Name:     Apex Capital Partners Fund I LP</t>
        </is>
      </c>
    </row>
    <row r="6" ht="18" customHeight="1">
      <c r="A6" s="39" t="inlineStr">
        <is>
          <t>Account Number:   XXXXXXXX7741  (on file)</t>
        </is>
      </c>
    </row>
    <row r="7" ht="18" customHeight="1">
      <c r="A7" s="33" t="inlineStr"/>
    </row>
    <row r="8" ht="18" customHeight="1">
      <c r="A8" s="39" t="inlineStr">
        <is>
          <t>Reference:        Project Meridian — Closing July 15, 2026</t>
        </is>
      </c>
    </row>
    <row r="9" ht="18" customHeight="1">
      <c r="A9" s="33" t="inlineStr"/>
    </row>
    <row r="10" ht="18" customHeight="1">
      <c r="A10" s="40" t="inlineStr">
        <is>
          <t>Confirm wire details directly with Fund Finance before sending.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2026-03-04T23:19:54Z</dcterms:created>
  <dcterms:modified xmlns:dcterms="http://purl.org/dc/terms/" xmlns:xsi="http://www.w3.org/2001/XMLSchema-instance" xsi:type="dcterms:W3CDTF">2026-03-05T15:45:01Z</dcterms:modified>
</cp:coreProperties>
</file>